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2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Jcob\Desktop\"/>
    </mc:Choice>
  </mc:AlternateContent>
  <xr:revisionPtr revIDLastSave="0" documentId="13_ncr:1_{A0770DE4-F756-43FB-BA73-AADB1C36AF9B}" xr6:coauthVersionLast="36" xr6:coauthVersionMax="36" xr10:uidLastSave="{00000000-0000-0000-0000-000000000000}"/>
  <bookViews>
    <workbookView xWindow="0" yWindow="0" windowWidth="21120" windowHeight="11655" xr2:uid="{00000000-000D-0000-FFFF-FFFF00000000}"/>
  </bookViews>
  <sheets>
    <sheet name="Lista artykułów spożywczych" sheetId="1" r:id="rId1"/>
    <sheet name="Arkusz1" sheetId="2" r:id="rId2"/>
  </sheets>
  <definedNames>
    <definedName name="_xlnm._FilterDatabase" localSheetId="0" hidden="1">'Lista artykułów spożywczych'!$B$3:$B$30</definedName>
    <definedName name="_xlnm.Print_Area" localSheetId="0">'Lista artykułów spożywczych'!$A$1:$I$32</definedName>
    <definedName name="Tytuł_kolumny_1">Lista_artykułów_spożywczych[[#Headers],[Gotowe?]]</definedName>
    <definedName name="_xlnm.Print_Titles" localSheetId="0">'Lista artykułów spożywczych'!$3:$3</definedName>
  </definedNames>
  <calcPr calcId="181029"/>
  <webPublishing codePage="1252"/>
</workbook>
</file>

<file path=xl/calcChain.xml><?xml version="1.0" encoding="utf-8"?>
<calcChain xmlns="http://schemas.openxmlformats.org/spreadsheetml/2006/main">
  <c r="M29" i="1" l="1"/>
  <c r="M28" i="1"/>
  <c r="M27" i="1"/>
  <c r="M26" i="1"/>
  <c r="M25" i="1"/>
  <c r="M24" i="1"/>
  <c r="M23" i="1"/>
  <c r="M22" i="1"/>
  <c r="M21" i="1"/>
  <c r="M9" i="1" l="1"/>
  <c r="F1" i="1"/>
  <c r="C2" i="1" l="1"/>
  <c r="G30" i="1" l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1" i="1" l="1"/>
  <c r="G32" i="1" s="1"/>
</calcChain>
</file>

<file path=xl/sharedStrings.xml><?xml version="1.0" encoding="utf-8"?>
<sst xmlns="http://schemas.openxmlformats.org/spreadsheetml/2006/main" count="138" uniqueCount="68">
  <si>
    <t>Lista artykułów spożywczych</t>
  </si>
  <si>
    <t>DATA</t>
  </si>
  <si>
    <t>Gotowe?</t>
  </si>
  <si>
    <t>Produkt</t>
  </si>
  <si>
    <t>Pomarańcze</t>
  </si>
  <si>
    <t>Jabłka</t>
  </si>
  <si>
    <t>Banany</t>
  </si>
  <si>
    <t>Sałata</t>
  </si>
  <si>
    <t>Pomidory</t>
  </si>
  <si>
    <t xml:space="preserve">Mleko </t>
  </si>
  <si>
    <t>Ser</t>
  </si>
  <si>
    <t>Jaja</t>
  </si>
  <si>
    <t>Twaróg</t>
  </si>
  <si>
    <t>Wołowina</t>
  </si>
  <si>
    <t>Drób</t>
  </si>
  <si>
    <t>Szynka</t>
  </si>
  <si>
    <t>Sok</t>
  </si>
  <si>
    <t>Kawa</t>
  </si>
  <si>
    <t>Herbata</t>
  </si>
  <si>
    <t>Woda</t>
  </si>
  <si>
    <t>Makaron</t>
  </si>
  <si>
    <t>Ryż</t>
  </si>
  <si>
    <t>Konserwy</t>
  </si>
  <si>
    <t>Mieszanka suszona</t>
  </si>
  <si>
    <t>Chleb</t>
  </si>
  <si>
    <t>Chipsy ziemniaczane</t>
  </si>
  <si>
    <t>Precle</t>
  </si>
  <si>
    <t>Lody</t>
  </si>
  <si>
    <t>Ciastka</t>
  </si>
  <si>
    <t>Talerze papierowe</t>
  </si>
  <si>
    <t>Serwetki</t>
  </si>
  <si>
    <t>Kategoria</t>
  </si>
  <si>
    <t>Owoce i warzywa</t>
  </si>
  <si>
    <t>Nabiał</t>
  </si>
  <si>
    <t>Mięso</t>
  </si>
  <si>
    <t>Napoje</t>
  </si>
  <si>
    <t>Zupa</t>
  </si>
  <si>
    <t>Pieczywo</t>
  </si>
  <si>
    <t>Przekąski</t>
  </si>
  <si>
    <t>Akcesoria</t>
  </si>
  <si>
    <t>Ilość</t>
  </si>
  <si>
    <t>Cena</t>
  </si>
  <si>
    <t>Cena rozszerzona</t>
  </si>
  <si>
    <t>Marka/komentarze</t>
  </si>
  <si>
    <t xml:space="preserve">  </t>
  </si>
  <si>
    <t>Tak</t>
  </si>
  <si>
    <t>Nie</t>
  </si>
  <si>
    <t>Lp.</t>
  </si>
  <si>
    <t>Nr w katalogu</t>
  </si>
  <si>
    <t>Czyja lista?</t>
  </si>
  <si>
    <t>Imię</t>
  </si>
  <si>
    <t>Ania</t>
  </si>
  <si>
    <t>Jakub</t>
  </si>
  <si>
    <t>Miłosz</t>
  </si>
  <si>
    <t>Marysia</t>
  </si>
  <si>
    <t>Ala</t>
  </si>
  <si>
    <t>Łącznie:</t>
  </si>
  <si>
    <t>Rabat:</t>
  </si>
  <si>
    <t>Czy posiada kartę rabatową?</t>
  </si>
  <si>
    <t>PRAWDA = 1</t>
  </si>
  <si>
    <t>TAK</t>
  </si>
  <si>
    <t>NIE</t>
  </si>
  <si>
    <t>Czego szukasz</t>
  </si>
  <si>
    <t>Rodzaj</t>
  </si>
  <si>
    <t>WYCZYŚĆ</t>
  </si>
  <si>
    <t>DRUKUJ LISTĘ</t>
  </si>
  <si>
    <t>MENU</t>
  </si>
  <si>
    <t>Łączna cena za daną kategorię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</si>
</sst>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#,##0.00\ &quot;zł&quot;"/>
    <numFmt numFmtId="166" formatCode="_-* #,##0.00\ [$zł-415]_-;\-* #,##0.00\ [$zł-415]_-;_-* &quot;-&quot;??\ [$zł-415]_-;_-@_-"/>
  </numFmts>
  <fonts count="15" x14ac:knownFonts="1">
    <font>
      <sz val="11"/>
      <name val="Trebuchet MS"/>
      <family val="2"/>
      <scheme val="minor"/>
    </font>
    <font>
      <sz val="8"/>
      <name val="Arial"/>
      <family val="2"/>
    </font>
    <font>
      <sz val="24"/>
      <color theme="8"/>
      <name val="Trebuchet MS"/>
      <family val="2"/>
      <scheme val="major"/>
    </font>
    <font>
      <sz val="11"/>
      <color theme="8" tint="-0.24994659260841701"/>
      <name val="Trebuchet MS"/>
      <family val="2"/>
      <scheme val="minor"/>
    </font>
    <font>
      <sz val="11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theme="5" tint="-0.499984740745262"/>
      <name val="Roboto"/>
      <charset val="238"/>
    </font>
    <font>
      <sz val="11"/>
      <color theme="8" tint="-0.24994659260841701"/>
      <name val="Roboto"/>
      <charset val="238"/>
    </font>
    <font>
      <sz val="11"/>
      <name val="Roboto"/>
      <charset val="238"/>
    </font>
    <font>
      <b/>
      <sz val="11"/>
      <name val="Roboto"/>
      <charset val="238"/>
    </font>
    <font>
      <b/>
      <sz val="11"/>
      <color theme="0"/>
      <name val="Roboto"/>
      <charset val="238"/>
    </font>
    <font>
      <b/>
      <sz val="24"/>
      <color theme="0"/>
      <name val="Roboto"/>
      <charset val="238"/>
    </font>
    <font>
      <b/>
      <sz val="11"/>
      <name val="Trebuchet MS"/>
      <family val="2"/>
      <charset val="238"/>
      <scheme val="minor"/>
    </font>
    <font>
      <sz val="22"/>
      <color theme="0"/>
      <name val="Roboto"/>
      <charset val="238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>
      <alignment vertical="center" wrapText="1"/>
    </xf>
    <xf numFmtId="1" fontId="4" fillId="0" borderId="0" applyFont="0" applyFill="0" applyBorder="0" applyProtection="0">
      <alignment horizontal="right" vertical="center"/>
    </xf>
    <xf numFmtId="164" fontId="4" fillId="0" borderId="0" applyFont="0" applyFill="0" applyBorder="0" applyProtection="0">
      <alignment horizontal="right" vertical="center"/>
    </xf>
    <xf numFmtId="0" fontId="2" fillId="0" borderId="0" applyNumberFormat="0" applyFill="0" applyBorder="0" applyProtection="0">
      <alignment horizontal="left" vertical="center"/>
    </xf>
    <xf numFmtId="14" fontId="3" fillId="0" borderId="0" applyFill="0" applyProtection="0">
      <alignment horizontal="left" vertical="center" indent="2"/>
    </xf>
    <xf numFmtId="0" fontId="5" fillId="0" borderId="0" applyNumberFormat="0" applyFill="0" applyAlignment="0" applyProtection="0"/>
    <xf numFmtId="0" fontId="6" fillId="0" borderId="0" applyNumberFormat="0" applyFill="0" applyAlignment="0" applyProtection="0"/>
  </cellStyleXfs>
  <cellXfs count="39">
    <xf numFmtId="0" fontId="0" fillId="0" borderId="0" xfId="0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 wrapText="1"/>
    </xf>
    <xf numFmtId="14" fontId="7" fillId="0" borderId="0" xfId="4" applyFont="1" applyAlignment="1">
      <alignment vertical="center"/>
    </xf>
    <xf numFmtId="14" fontId="8" fillId="0" borderId="0" xfId="4" applyFont="1">
      <alignment horizontal="left" vertical="center" indent="2"/>
    </xf>
    <xf numFmtId="0" fontId="9" fillId="0" borderId="0" xfId="0" applyFont="1">
      <alignment vertical="center" wrapText="1"/>
    </xf>
    <xf numFmtId="0" fontId="9" fillId="2" borderId="0" xfId="0" applyFont="1" applyFill="1" applyBorder="1">
      <alignment vertical="center" wrapText="1"/>
    </xf>
    <xf numFmtId="0" fontId="9" fillId="0" borderId="0" xfId="0" applyFont="1" applyFill="1" applyBorder="1">
      <alignment vertical="center" wrapText="1"/>
    </xf>
    <xf numFmtId="165" fontId="9" fillId="0" borderId="0" xfId="2" applyNumberFormat="1" applyFont="1" applyFill="1" applyBorder="1">
      <alignment horizontal="right" vertical="center"/>
    </xf>
    <xf numFmtId="0" fontId="9" fillId="2" borderId="0" xfId="0" applyFont="1" applyFill="1">
      <alignment vertical="center" wrapText="1"/>
    </xf>
    <xf numFmtId="0" fontId="10" fillId="2" borderId="0" xfId="0" applyFont="1" applyFill="1" applyBorder="1" applyAlignment="1">
      <alignment horizontal="right" vertical="center" wrapText="1"/>
    </xf>
    <xf numFmtId="165" fontId="10" fillId="2" borderId="0" xfId="0" applyNumberFormat="1" applyFont="1" applyFill="1" applyBorder="1">
      <alignment vertical="center" wrapText="1"/>
    </xf>
    <xf numFmtId="0" fontId="0" fillId="3" borderId="0" xfId="0" applyFill="1">
      <alignment vertical="center" wrapText="1"/>
    </xf>
    <xf numFmtId="0" fontId="11" fillId="2" borderId="0" xfId="0" applyFont="1" applyFill="1" applyAlignment="1">
      <alignment horizontal="right" vertical="center" wrapText="1"/>
    </xf>
    <xf numFmtId="166" fontId="11" fillId="2" borderId="0" xfId="2" applyNumberFormat="1" applyFont="1" applyFill="1">
      <alignment horizontal="right" vertical="center"/>
    </xf>
    <xf numFmtId="0" fontId="9" fillId="0" borderId="0" xfId="0" applyFont="1" applyAlignment="1">
      <alignment vertical="center" wrapText="1"/>
    </xf>
    <xf numFmtId="0" fontId="9" fillId="0" borderId="0" xfId="1" applyNumberFormat="1" applyFont="1" applyFill="1" applyBorder="1">
      <alignment horizontal="right" vertical="center"/>
    </xf>
    <xf numFmtId="0" fontId="11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>
      <alignment vertical="center" wrapText="1"/>
    </xf>
    <xf numFmtId="0" fontId="10" fillId="0" borderId="1" xfId="0" applyFont="1" applyBorder="1" applyAlignment="1">
      <alignment vertical="center" wrapText="1"/>
    </xf>
    <xf numFmtId="166" fontId="0" fillId="0" borderId="1" xfId="2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2" fillId="2" borderId="0" xfId="3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</cellXfs>
  <cellStyles count="7">
    <cellStyle name="Dziesiętny" xfId="1" builtinId="3" customBuiltin="1"/>
    <cellStyle name="Nagłówek 1" xfId="4" builtinId="16" customBuiltin="1"/>
    <cellStyle name="Nagłówek 2" xfId="5" builtinId="17" customBuiltin="1"/>
    <cellStyle name="Nagłówek 3" xfId="6" builtinId="18" customBuiltin="1"/>
    <cellStyle name="Normalny" xfId="0" builtinId="0" customBuiltin="1"/>
    <cellStyle name="Tytuł" xfId="3" builtinId="15" customBuiltin="1"/>
    <cellStyle name="Walutowy" xfId="2" builtinId="4" customBuiltin="1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name val="Roboto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numFmt numFmtId="165" formatCode="#,##0.00\ &quot;zł&quot;"/>
      <fill>
        <patternFill patternType="solid">
          <fgColor indexed="64"/>
          <bgColor theme="2" tint="-0.49998474074526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Roboto"/>
        <scheme val="none"/>
      </font>
      <numFmt numFmtId="165" formatCode="#,##0.00\ &quot;zł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Roboto"/>
        <scheme val="none"/>
      </font>
      <numFmt numFmtId="165" formatCode="#,##0.00\ &quot;zł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Roboto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boto"/>
        <charset val="238"/>
        <scheme val="none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name val="Roboto"/>
        <scheme val="none"/>
      </font>
    </dxf>
    <dxf>
      <font>
        <strike val="0"/>
        <outline val="0"/>
        <shadow val="0"/>
        <u val="none"/>
        <vertAlign val="baseline"/>
        <name val="Roboto"/>
        <scheme val="none"/>
      </font>
      <fill>
        <patternFill patternType="solid">
          <fgColor indexed="64"/>
          <bgColor theme="2" tint="-0.499984740745262"/>
        </patternFill>
      </fill>
    </dxf>
    <dxf>
      <font>
        <strike val="0"/>
        <outline val="0"/>
        <shadow val="0"/>
        <u val="none"/>
        <vertAlign val="baseline"/>
        <name val="Roboto"/>
        <scheme val="none"/>
      </font>
    </dxf>
    <dxf>
      <font>
        <strike val="0"/>
        <outline val="0"/>
        <shadow val="0"/>
        <u val="none"/>
        <vertAlign val="baseline"/>
        <name val="Roboto"/>
        <scheme val="none"/>
      </font>
      <fill>
        <patternFill patternType="solid">
          <fgColor indexed="64"/>
          <bgColor theme="2" tint="-0.499984740745262"/>
        </patternFill>
      </fill>
    </dxf>
    <dxf>
      <fill>
        <patternFill>
          <bgColor theme="5" tint="0.79998168889431442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5" tint="0.59996337778862885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color theme="0"/>
      </font>
      <fill>
        <patternFill>
          <bgColor theme="8" tint="-0.24994659260841701"/>
        </patternFill>
      </fill>
      <border>
        <top style="medium">
          <color theme="0"/>
        </top>
      </border>
    </dxf>
    <dxf>
      <font>
        <color theme="0"/>
      </font>
      <fill>
        <patternFill>
          <bgColor theme="8" tint="-0.24994659260841701"/>
        </patternFill>
      </fill>
      <border>
        <top style="thick">
          <color theme="0"/>
        </top>
        <bottom/>
      </border>
    </dxf>
    <dxf>
      <font>
        <color theme="1" tint="0.24994659260841701"/>
      </font>
    </dxf>
  </dxfs>
  <tableStyles count="1" defaultTableStyle="TableStyleMedium2" defaultPivotStyle="PivotStyleLight16">
    <tableStyle name="Lista artykułów spożywczych" pivot="0" count="5" xr9:uid="{00000000-0011-0000-FFFF-FFFF00000000}">
      <tableStyleElement type="wholeTable" dxfId="21"/>
      <tableStyleElement type="headerRow" dxfId="20"/>
      <tableStyleElement type="totalRow" dxfId="19"/>
      <tableStyleElement type="firstRowStripe" dxfId="18"/>
      <tableStyleElement type="secondRowStripe" dxfId="1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DF6A57"/>
      <rgbColor rgb="00F5D28B"/>
      <rgbColor rgb="00E0EBC8"/>
      <rgbColor rgb="00D0E6E3"/>
      <rgbColor rgb="00F4EBC8"/>
      <rgbColor rgb="00EAEAEA"/>
      <rgbColor rgb="00FEF9F0"/>
      <rgbColor rgb="00A7C5C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FAECC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7" dropStyle="combo" dx="22" fmlaLink="K18" fmlaRange="'Lista artykułów spożywczych'!$C$4:$C$30" noThreeD="1" sel="10" val="0"/>
</file>

<file path=xl/ctrlProps/ctrlProp2.xml><?xml version="1.0" encoding="utf-8"?>
<formControlPr xmlns="http://schemas.microsoft.com/office/spreadsheetml/2009/9/main" objectType="List" dx="22" fmlaLink="$M$6" fmlaRange="Arkusz1!$A$7:$A$8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9525</xdr:colOff>
          <xdr:row>18</xdr:row>
          <xdr:rowOff>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371475</xdr:rowOff>
        </xdr:from>
        <xdr:to>
          <xdr:col>12</xdr:col>
          <xdr:colOff>0</xdr:colOff>
          <xdr:row>5</xdr:row>
          <xdr:rowOff>371475</xdr:rowOff>
        </xdr:to>
        <xdr:sp macro="" textlink="">
          <xdr:nvSpPr>
            <xdr:cNvPr id="1039" name="List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225159</xdr:colOff>
      <xdr:row>11</xdr:row>
      <xdr:rowOff>182108</xdr:rowOff>
    </xdr:from>
    <xdr:to>
      <xdr:col>11</xdr:col>
      <xdr:colOff>444233</xdr:colOff>
      <xdr:row>14</xdr:row>
      <xdr:rowOff>146106</xdr:rowOff>
    </xdr:to>
    <xdr:pic macro="[0]!WYCZYSC"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7541" y="4720490"/>
          <a:ext cx="902633" cy="1106998"/>
        </a:xfrm>
        <a:prstGeom prst="rect">
          <a:avLst/>
        </a:prstGeom>
      </xdr:spPr>
    </xdr:pic>
    <xdr:clientData/>
  </xdr:twoCellAnchor>
  <xdr:twoCellAnchor editAs="oneCell">
    <xdr:from>
      <xdr:col>12</xdr:col>
      <xdr:colOff>156885</xdr:colOff>
      <xdr:row>11</xdr:row>
      <xdr:rowOff>212912</xdr:rowOff>
    </xdr:from>
    <xdr:to>
      <xdr:col>12</xdr:col>
      <xdr:colOff>1216960</xdr:colOff>
      <xdr:row>14</xdr:row>
      <xdr:rowOff>129987</xdr:rowOff>
    </xdr:to>
    <xdr:pic macro="[0]!DRUKUJ">
      <xdr:nvPicPr>
        <xdr:cNvPr id="4" name="Obraz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6385" y="4751294"/>
          <a:ext cx="1060075" cy="10600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_artykułów_spożywczych" displayName="Lista_artykułów_spożywczych" ref="B3:H31" totalsRowCount="1" headerRowDxfId="16" dataDxfId="15" totalsRowDxfId="14">
  <autoFilter ref="B3:H30" xr:uid="{00000000-0009-0000-0100-000001000000}"/>
  <tableColumns count="7">
    <tableColumn id="1" xr3:uid="{00000000-0010-0000-0000-000001000000}" name="Gotowe?" dataDxfId="13" totalsRowDxfId="12"/>
    <tableColumn id="2" xr3:uid="{00000000-0010-0000-0000-000002000000}" name="Produkt" dataDxfId="11" totalsRowDxfId="10"/>
    <tableColumn id="5" xr3:uid="{00000000-0010-0000-0000-000005000000}" name="Kategoria" dataDxfId="9" totalsRowDxfId="8"/>
    <tableColumn id="3" xr3:uid="{00000000-0010-0000-0000-000003000000}" name="Ilość" dataDxfId="7" totalsRowDxfId="6"/>
    <tableColumn id="7" xr3:uid="{00000000-0010-0000-0000-000007000000}" name="Cena" totalsRowLabel="Łącznie:" dataDxfId="5" totalsRowDxfId="4"/>
    <tableColumn id="10" xr3:uid="{00000000-0010-0000-0000-00000A000000}" name="Cena rozszerzona" totalsRowFunction="sum" dataDxfId="3" totalsRowDxfId="2">
      <calculatedColumnFormula>IFERROR(SUM(Lista_artykułów_spożywczych[Ilość]*Lista_artykułów_spożywczych[Cena]), "")</calculatedColumnFormula>
    </tableColumn>
    <tableColumn id="4" xr3:uid="{00000000-0010-0000-0000-000004000000}" name="Marka/komentarze" dataDxfId="1" totalsRowDxfId="0"/>
  </tableColumns>
  <tableStyleInfo name="Lista artykułów spożywczych" showFirstColumn="0" showLastColumn="0" showRowStripes="1" showColumnStripes="0"/>
  <extLst>
    <ext xmlns:x14="http://schemas.microsoft.com/office/spreadsheetml/2009/9/main" uri="{504A1905-F514-4f6f-8877-14C23A59335A}">
      <x14:table altTextSummary="W tej tabeli wprowadź stan zakupów, datę, produkt, kategorię, ilość i cenę. Cena rozszerzona jest obliczana automatycznie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Foundry">
  <a:themeElements>
    <a:clrScheme name="Grocery List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BC333A"/>
      </a:accent1>
      <a:accent2>
        <a:srgbClr val="9CC4D0"/>
      </a:accent2>
      <a:accent3>
        <a:srgbClr val="B2D58F"/>
      </a:accent3>
      <a:accent4>
        <a:srgbClr val="FADA7A"/>
      </a:accent4>
      <a:accent5>
        <a:srgbClr val="9D763D"/>
      </a:accent5>
      <a:accent6>
        <a:srgbClr val="8E736A"/>
      </a:accent6>
      <a:hlink>
        <a:srgbClr val="A599AE"/>
      </a:hlink>
      <a:folHlink>
        <a:srgbClr val="80758A"/>
      </a:folHlink>
    </a:clrScheme>
    <a:fontScheme name="Monthly Family Budget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140000" t="120000" r="105000" b="150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0070C0"/>
    <pageSetUpPr fitToPage="1"/>
  </sheetPr>
  <dimension ref="A1:N32"/>
  <sheetViews>
    <sheetView showGridLines="0" tabSelected="1" zoomScaleNormal="100" workbookViewId="0">
      <selection activeCell="O3" sqref="O3"/>
    </sheetView>
  </sheetViews>
  <sheetFormatPr defaultRowHeight="30" customHeight="1" x14ac:dyDescent="0.3"/>
  <cols>
    <col min="1" max="1" width="3.5" customWidth="1"/>
    <col min="2" max="2" width="11.625" customWidth="1"/>
    <col min="3" max="4" width="15.625" customWidth="1"/>
    <col min="5" max="5" width="13.625" customWidth="1"/>
    <col min="6" max="6" width="11.625" customWidth="1"/>
    <col min="7" max="7" width="18.625" customWidth="1"/>
    <col min="8" max="8" width="27.625" customWidth="1"/>
    <col min="9" max="9" width="2.625" customWidth="1"/>
    <col min="13" max="13" width="17.75" customWidth="1"/>
  </cols>
  <sheetData>
    <row r="1" spans="1:14" ht="52.5" customHeight="1" x14ac:dyDescent="0.3">
      <c r="B1" s="30" t="s">
        <v>0</v>
      </c>
      <c r="C1" s="30"/>
      <c r="D1" s="30"/>
      <c r="E1" s="30"/>
      <c r="F1" s="30" t="str">
        <f>M3</f>
        <v>Miłosz</v>
      </c>
      <c r="G1" s="30"/>
      <c r="H1" s="30"/>
      <c r="K1" s="32" t="s">
        <v>66</v>
      </c>
      <c r="L1" s="32"/>
      <c r="M1" s="32"/>
    </row>
    <row r="2" spans="1:14" ht="34.5" customHeight="1" x14ac:dyDescent="0.3">
      <c r="B2" s="3" t="s">
        <v>1</v>
      </c>
      <c r="C2" s="3">
        <f ca="1">TODAY()</f>
        <v>44566</v>
      </c>
      <c r="D2" s="4"/>
      <c r="E2" s="5"/>
      <c r="F2" s="5"/>
      <c r="G2" s="5"/>
      <c r="H2" s="5"/>
      <c r="K2" s="25" t="s">
        <v>49</v>
      </c>
      <c r="L2" s="29"/>
      <c r="M2" s="26"/>
      <c r="N2" s="5"/>
    </row>
    <row r="3" spans="1:14" ht="30" customHeight="1" x14ac:dyDescent="0.3">
      <c r="A3" s="12" t="s">
        <v>47</v>
      </c>
      <c r="B3" s="6" t="s">
        <v>2</v>
      </c>
      <c r="C3" s="6" t="s">
        <v>3</v>
      </c>
      <c r="D3" s="6" t="s">
        <v>31</v>
      </c>
      <c r="E3" s="6" t="s">
        <v>40</v>
      </c>
      <c r="F3" s="6" t="s">
        <v>41</v>
      </c>
      <c r="G3" s="6" t="s">
        <v>42</v>
      </c>
      <c r="H3" s="6" t="s">
        <v>43</v>
      </c>
      <c r="K3" s="31" t="s">
        <v>50</v>
      </c>
      <c r="L3" s="31"/>
      <c r="M3" s="18" t="s">
        <v>53</v>
      </c>
      <c r="N3" s="5"/>
    </row>
    <row r="4" spans="1:14" ht="30" customHeight="1" x14ac:dyDescent="0.3">
      <c r="A4" s="1">
        <v>1</v>
      </c>
      <c r="B4" s="7" t="s">
        <v>45</v>
      </c>
      <c r="C4" s="7" t="s">
        <v>4</v>
      </c>
      <c r="D4" s="7" t="s">
        <v>32</v>
      </c>
      <c r="E4" s="16">
        <v>34</v>
      </c>
      <c r="F4" s="8">
        <v>3</v>
      </c>
      <c r="G4" s="8">
        <f>IFERROR(SUM(Lista_artykułów_spożywczych[Ilość]*Lista_artykułów_spożywczych[Cena]), "")</f>
        <v>102</v>
      </c>
      <c r="H4" s="7"/>
      <c r="K4" s="22"/>
      <c r="L4" s="22"/>
      <c r="M4" s="22"/>
      <c r="N4" s="5"/>
    </row>
    <row r="5" spans="1:14" ht="30" customHeight="1" x14ac:dyDescent="0.3">
      <c r="A5" s="1">
        <v>2</v>
      </c>
      <c r="B5" s="7" t="s">
        <v>46</v>
      </c>
      <c r="C5" s="7" t="s">
        <v>5</v>
      </c>
      <c r="D5" s="7" t="s">
        <v>32</v>
      </c>
      <c r="E5" s="16">
        <v>34</v>
      </c>
      <c r="F5" s="8">
        <v>2</v>
      </c>
      <c r="G5" s="8">
        <f>IFERROR(SUM(Lista_artykułów_spożywczych[Ilość]*Lista_artykułów_spożywczych[Cena]), "")</f>
        <v>68</v>
      </c>
      <c r="H5" s="7"/>
      <c r="K5" s="27" t="s">
        <v>58</v>
      </c>
      <c r="L5" s="27"/>
      <c r="M5" s="17" t="s">
        <v>59</v>
      </c>
      <c r="N5" s="5"/>
    </row>
    <row r="6" spans="1:14" ht="30" customHeight="1" x14ac:dyDescent="0.3">
      <c r="A6" s="1">
        <v>3</v>
      </c>
      <c r="B6" s="7" t="s">
        <v>46</v>
      </c>
      <c r="C6" s="7" t="s">
        <v>6</v>
      </c>
      <c r="D6" s="7" t="s">
        <v>32</v>
      </c>
      <c r="E6" s="16">
        <v>34</v>
      </c>
      <c r="F6" s="8">
        <v>2</v>
      </c>
      <c r="G6" s="8">
        <f>IFERROR(SUM(Lista_artykułów_spożywczych[Ilość]*Lista_artykułów_spożywczych[Cena]), "")</f>
        <v>68</v>
      </c>
      <c r="H6" s="7"/>
      <c r="K6" s="19"/>
      <c r="L6" s="19"/>
      <c r="M6" s="18">
        <v>2</v>
      </c>
      <c r="N6" s="15"/>
    </row>
    <row r="7" spans="1:14" ht="30" customHeight="1" x14ac:dyDescent="0.3">
      <c r="A7" s="1">
        <v>4</v>
      </c>
      <c r="B7" s="7" t="s">
        <v>46</v>
      </c>
      <c r="C7" s="7" t="s">
        <v>7</v>
      </c>
      <c r="D7" s="7" t="s">
        <v>32</v>
      </c>
      <c r="E7" s="16">
        <v>23</v>
      </c>
      <c r="F7" s="8">
        <v>1</v>
      </c>
      <c r="G7" s="8">
        <f>IFERROR(SUM(Lista_artykułów_spożywczych[Ilość]*Lista_artykułów_spożywczych[Cena]), "")</f>
        <v>23</v>
      </c>
      <c r="H7" s="7"/>
      <c r="K7" s="22"/>
      <c r="L7" s="22"/>
      <c r="M7" s="22"/>
      <c r="N7" s="5"/>
    </row>
    <row r="8" spans="1:14" ht="30" customHeight="1" x14ac:dyDescent="0.3">
      <c r="A8" s="1">
        <v>5</v>
      </c>
      <c r="B8" s="7" t="s">
        <v>45</v>
      </c>
      <c r="C8" s="7" t="s">
        <v>8</v>
      </c>
      <c r="D8" s="7" t="s">
        <v>32</v>
      </c>
      <c r="E8" s="16">
        <v>2</v>
      </c>
      <c r="F8" s="8">
        <v>2</v>
      </c>
      <c r="G8" s="8">
        <f>IFERROR(SUM(Lista_artykułów_spożywczych[Ilość]*Lista_artykułów_spożywczych[Cena]), "")</f>
        <v>4</v>
      </c>
      <c r="H8" s="7" t="s">
        <v>44</v>
      </c>
      <c r="K8" s="27" t="s">
        <v>62</v>
      </c>
      <c r="L8" s="27"/>
      <c r="M8" s="17" t="s">
        <v>63</v>
      </c>
      <c r="N8" s="5"/>
    </row>
    <row r="9" spans="1:14" ht="30" customHeight="1" x14ac:dyDescent="0.3">
      <c r="A9" s="1">
        <v>6</v>
      </c>
      <c r="B9" s="7"/>
      <c r="C9" s="7" t="s">
        <v>9</v>
      </c>
      <c r="D9" s="7" t="s">
        <v>33</v>
      </c>
      <c r="E9" s="16">
        <v>1</v>
      </c>
      <c r="F9" s="8">
        <v>2</v>
      </c>
      <c r="G9" s="8">
        <f>IFERROR(SUM(Lista_artykułów_spożywczych[Ilość]*Lista_artykułów_spożywczych[Cena]), "")</f>
        <v>2</v>
      </c>
      <c r="H9" s="7"/>
      <c r="K9" s="31" t="s">
        <v>15</v>
      </c>
      <c r="L9" s="31"/>
      <c r="M9" s="18" t="str">
        <f>VLOOKUP(K9,Lista_artykułów_spożywczych[[Produkt]:[Kategoria]],2,0)</f>
        <v>Mięso</v>
      </c>
      <c r="N9" s="5"/>
    </row>
    <row r="10" spans="1:14" ht="30" customHeight="1" x14ac:dyDescent="0.3">
      <c r="A10" s="1">
        <v>7</v>
      </c>
      <c r="B10" s="7"/>
      <c r="C10" s="7" t="s">
        <v>10</v>
      </c>
      <c r="D10" s="7" t="s">
        <v>33</v>
      </c>
      <c r="E10" s="16">
        <v>1</v>
      </c>
      <c r="F10" s="8">
        <v>2</v>
      </c>
      <c r="G10" s="8">
        <f>IFERROR(SUM(Lista_artykułów_spożywczych[Ilość]*Lista_artykułów_spożywczych[Cena]), "")</f>
        <v>2</v>
      </c>
      <c r="H10" s="7"/>
      <c r="K10" s="22"/>
      <c r="L10" s="22"/>
      <c r="M10" s="22"/>
      <c r="N10" s="5"/>
    </row>
    <row r="11" spans="1:14" ht="30" customHeight="1" x14ac:dyDescent="0.3">
      <c r="A11" s="1">
        <v>8</v>
      </c>
      <c r="B11" s="7"/>
      <c r="C11" s="7" t="s">
        <v>11</v>
      </c>
      <c r="D11" s="7" t="s">
        <v>33</v>
      </c>
      <c r="E11" s="16">
        <v>16</v>
      </c>
      <c r="F11" s="8">
        <v>2</v>
      </c>
      <c r="G11" s="8">
        <f>IFERROR(SUM(Lista_artykułów_spożywczych[Ilość]*Lista_artykułów_spożywczych[Cena]), "")</f>
        <v>32</v>
      </c>
      <c r="H11" s="7"/>
      <c r="K11" s="25" t="s">
        <v>64</v>
      </c>
      <c r="L11" s="26"/>
      <c r="M11" s="17" t="s">
        <v>65</v>
      </c>
      <c r="N11" s="5"/>
    </row>
    <row r="12" spans="1:14" ht="30" customHeight="1" x14ac:dyDescent="0.3">
      <c r="A12" s="1">
        <v>9</v>
      </c>
      <c r="B12" s="7"/>
      <c r="C12" s="7" t="s">
        <v>12</v>
      </c>
      <c r="D12" s="7" t="s">
        <v>33</v>
      </c>
      <c r="E12" s="16">
        <v>12</v>
      </c>
      <c r="F12" s="8">
        <v>2</v>
      </c>
      <c r="G12" s="8">
        <f>IFERROR(SUM(Lista_artykułów_spożywczych[Ilość]*Lista_artykułów_spożywczych[Cena]), "")</f>
        <v>24</v>
      </c>
      <c r="H12" s="7"/>
      <c r="K12" s="33"/>
      <c r="L12" s="34"/>
      <c r="M12" s="31"/>
      <c r="N12" s="5"/>
    </row>
    <row r="13" spans="1:14" ht="30" customHeight="1" x14ac:dyDescent="0.3">
      <c r="A13" s="1">
        <v>10</v>
      </c>
      <c r="B13" s="5"/>
      <c r="C13" s="7" t="s">
        <v>13</v>
      </c>
      <c r="D13" s="7" t="s">
        <v>34</v>
      </c>
      <c r="E13" s="16">
        <v>2</v>
      </c>
      <c r="F13" s="8">
        <v>3</v>
      </c>
      <c r="G13" s="8">
        <f>IFERROR(SUM(Lista_artykułów_spożywczych[Ilość]*Lista_artykułów_spożywczych[Cena]), "")</f>
        <v>6</v>
      </c>
      <c r="H13" s="5"/>
      <c r="K13" s="35"/>
      <c r="L13" s="36"/>
      <c r="M13" s="31"/>
      <c r="N13" s="5"/>
    </row>
    <row r="14" spans="1:14" ht="30" customHeight="1" x14ac:dyDescent="0.3">
      <c r="A14">
        <v>11</v>
      </c>
      <c r="B14" s="5"/>
      <c r="C14" s="7" t="s">
        <v>14</v>
      </c>
      <c r="D14" s="7" t="s">
        <v>34</v>
      </c>
      <c r="E14" s="16">
        <v>2</v>
      </c>
      <c r="F14" s="8">
        <v>7</v>
      </c>
      <c r="G14" s="8">
        <f>IFERROR(SUM(Lista_artykułów_spożywczych[Ilość]*Lista_artykułów_spożywczych[Cena]), "")</f>
        <v>14</v>
      </c>
      <c r="H14" s="5"/>
      <c r="K14" s="35"/>
      <c r="L14" s="36"/>
      <c r="M14" s="31"/>
      <c r="N14" s="5"/>
    </row>
    <row r="15" spans="1:14" ht="30" customHeight="1" x14ac:dyDescent="0.3">
      <c r="A15">
        <v>12</v>
      </c>
      <c r="B15" s="5"/>
      <c r="C15" s="7" t="s">
        <v>15</v>
      </c>
      <c r="D15" s="7" t="s">
        <v>34</v>
      </c>
      <c r="E15" s="16">
        <v>2</v>
      </c>
      <c r="F15" s="8">
        <v>8</v>
      </c>
      <c r="G15" s="8">
        <f>IFERROR(SUM(Lista_artykułów_spożywczych[Ilość]*Lista_artykułów_spożywczych[Cena]), "")</f>
        <v>16</v>
      </c>
      <c r="H15" s="5"/>
      <c r="K15" s="37"/>
      <c r="L15" s="38"/>
      <c r="M15" s="31"/>
      <c r="N15" s="5"/>
    </row>
    <row r="16" spans="1:14" ht="30" customHeight="1" x14ac:dyDescent="0.3">
      <c r="A16">
        <v>13</v>
      </c>
      <c r="B16" s="5"/>
      <c r="C16" s="7" t="s">
        <v>16</v>
      </c>
      <c r="D16" s="7" t="s">
        <v>35</v>
      </c>
      <c r="E16" s="16"/>
      <c r="F16" s="8"/>
      <c r="G16" s="8">
        <f>IFERROR(SUM(Lista_artykułów_spożywczych[Ilość]*Lista_artykułów_spożywczych[Cena]), "")</f>
        <v>0</v>
      </c>
      <c r="H16" s="5"/>
      <c r="K16" s="23"/>
      <c r="L16" s="23"/>
      <c r="M16" s="23"/>
    </row>
    <row r="17" spans="1:13" ht="30" customHeight="1" x14ac:dyDescent="0.3">
      <c r="A17">
        <v>14</v>
      </c>
      <c r="B17" s="5"/>
      <c r="C17" s="7" t="s">
        <v>17</v>
      </c>
      <c r="D17" s="7" t="s">
        <v>35</v>
      </c>
      <c r="E17" s="16"/>
      <c r="F17" s="8"/>
      <c r="G17" s="8">
        <f>IFERROR(SUM(Lista_artykułów_spożywczych[Ilość]*Lista_artykułów_spożywczych[Cena]), "")</f>
        <v>0</v>
      </c>
      <c r="H17" s="5"/>
      <c r="K17" s="25" t="s">
        <v>48</v>
      </c>
      <c r="L17" s="26"/>
      <c r="M17" s="17" t="s">
        <v>3</v>
      </c>
    </row>
    <row r="18" spans="1:13" ht="30" customHeight="1" x14ac:dyDescent="0.3">
      <c r="A18">
        <v>15</v>
      </c>
      <c r="B18" s="5"/>
      <c r="C18" s="7" t="s">
        <v>18</v>
      </c>
      <c r="D18" s="7" t="s">
        <v>35</v>
      </c>
      <c r="E18" s="16"/>
      <c r="F18" s="8"/>
      <c r="G18" s="8">
        <f>IFERROR(SUM(Lista_artykułów_spożywczych[Ilość]*Lista_artykułów_spożywczych[Cena]), "")</f>
        <v>0</v>
      </c>
      <c r="H18" s="5"/>
      <c r="K18" s="31">
        <v>10</v>
      </c>
      <c r="L18" s="31"/>
      <c r="M18" s="20"/>
    </row>
    <row r="19" spans="1:13" ht="30" customHeight="1" x14ac:dyDescent="0.3">
      <c r="A19">
        <v>16</v>
      </c>
      <c r="B19" s="5"/>
      <c r="C19" s="7" t="s">
        <v>19</v>
      </c>
      <c r="D19" s="7" t="s">
        <v>35</v>
      </c>
      <c r="E19" s="16"/>
      <c r="F19" s="8"/>
      <c r="G19" s="8">
        <f>IFERROR(SUM(Lista_artykułów_spożywczych[Ilość]*Lista_artykułów_spożywczych[Cena]), "")</f>
        <v>0</v>
      </c>
      <c r="H19" s="5"/>
      <c r="K19" s="24"/>
      <c r="L19" s="24"/>
      <c r="M19" s="24"/>
    </row>
    <row r="20" spans="1:13" ht="30" customHeight="1" x14ac:dyDescent="0.3">
      <c r="A20">
        <v>17</v>
      </c>
      <c r="B20" s="5"/>
      <c r="C20" s="7" t="s">
        <v>20</v>
      </c>
      <c r="D20" s="7" t="s">
        <v>20</v>
      </c>
      <c r="E20" s="16"/>
      <c r="F20" s="8"/>
      <c r="G20" s="8">
        <f>IFERROR(SUM(Lista_artykułów_spożywczych[Ilość]*Lista_artykułów_spożywczych[Cena]), "")</f>
        <v>0</v>
      </c>
      <c r="H20" s="5"/>
      <c r="K20" s="27" t="s">
        <v>67</v>
      </c>
      <c r="L20" s="27"/>
      <c r="M20" s="27"/>
    </row>
    <row r="21" spans="1:13" ht="30" customHeight="1" x14ac:dyDescent="0.3">
      <c r="A21">
        <v>18</v>
      </c>
      <c r="B21" s="5"/>
      <c r="C21" s="7" t="s">
        <v>21</v>
      </c>
      <c r="D21" s="7" t="s">
        <v>20</v>
      </c>
      <c r="E21" s="16"/>
      <c r="F21" s="8"/>
      <c r="G21" s="8">
        <f>IFERROR(SUM(Lista_artykułów_spożywczych[Ilość]*Lista_artykułów_spożywczych[Cena]), "")</f>
        <v>0</v>
      </c>
      <c r="H21" s="5"/>
      <c r="K21" s="28" t="s">
        <v>32</v>
      </c>
      <c r="L21" s="28"/>
      <c r="M21" s="21">
        <f>SUMIF(Lista_artykułów_spożywczych[Kategoria],"Owoce i warzywa",Lista_artykułów_spożywczych[Cena rozszerzona])</f>
        <v>265</v>
      </c>
    </row>
    <row r="22" spans="1:13" ht="30" customHeight="1" x14ac:dyDescent="0.3">
      <c r="A22">
        <v>19</v>
      </c>
      <c r="B22" s="5"/>
      <c r="C22" s="7" t="s">
        <v>22</v>
      </c>
      <c r="D22" s="7" t="s">
        <v>36</v>
      </c>
      <c r="E22" s="16"/>
      <c r="F22" s="8"/>
      <c r="G22" s="8">
        <f>IFERROR(SUM(Lista_artykułów_spożywczych[Ilość]*Lista_artykułów_spożywczych[Cena]), "")</f>
        <v>0</v>
      </c>
      <c r="H22" s="5"/>
      <c r="K22" s="28" t="s">
        <v>33</v>
      </c>
      <c r="L22" s="28"/>
      <c r="M22" s="21">
        <f>SUMIF(Lista_artykułów_spożywczych[Kategoria],"Nabiał",Lista_artykułów_spożywczych[Cena rozszerzona])</f>
        <v>60</v>
      </c>
    </row>
    <row r="23" spans="1:13" ht="30" customHeight="1" x14ac:dyDescent="0.3">
      <c r="A23">
        <v>20</v>
      </c>
      <c r="B23" s="5"/>
      <c r="C23" s="7" t="s">
        <v>23</v>
      </c>
      <c r="D23" s="7" t="s">
        <v>36</v>
      </c>
      <c r="E23" s="16"/>
      <c r="F23" s="8"/>
      <c r="G23" s="8">
        <f>IFERROR(SUM(Lista_artykułów_spożywczych[Ilość]*Lista_artykułów_spożywczych[Cena]), "")</f>
        <v>0</v>
      </c>
      <c r="H23" s="5"/>
      <c r="K23" s="28" t="s">
        <v>34</v>
      </c>
      <c r="L23" s="28"/>
      <c r="M23" s="21">
        <f>SUMIF(Lista_artykułów_spożywczych[Kategoria],"Mięso",Lista_artykułów_spożywczych[Cena rozszerzona])</f>
        <v>36</v>
      </c>
    </row>
    <row r="24" spans="1:13" ht="30" customHeight="1" x14ac:dyDescent="0.3">
      <c r="A24">
        <v>21</v>
      </c>
      <c r="B24" s="5"/>
      <c r="C24" s="7" t="s">
        <v>24</v>
      </c>
      <c r="D24" s="7" t="s">
        <v>37</v>
      </c>
      <c r="E24" s="16"/>
      <c r="F24" s="8"/>
      <c r="G24" s="8">
        <f>IFERROR(SUM(Lista_artykułów_spożywczych[Ilość]*Lista_artykułów_spożywczych[Cena]), "")</f>
        <v>0</v>
      </c>
      <c r="H24" s="5"/>
      <c r="K24" s="28" t="s">
        <v>35</v>
      </c>
      <c r="L24" s="28"/>
      <c r="M24" s="21">
        <f>SUMIF(Lista_artykułów_spożywczych[Kategoria],"Napoje",Lista_artykułów_spożywczych[Cena rozszerzona])</f>
        <v>0</v>
      </c>
    </row>
    <row r="25" spans="1:13" ht="30" customHeight="1" x14ac:dyDescent="0.3">
      <c r="A25">
        <v>22</v>
      </c>
      <c r="B25" s="5"/>
      <c r="C25" s="7" t="s">
        <v>25</v>
      </c>
      <c r="D25" s="7" t="s">
        <v>38</v>
      </c>
      <c r="E25" s="16"/>
      <c r="F25" s="8"/>
      <c r="G25" s="8">
        <f>IFERROR(SUM(Lista_artykułów_spożywczych[Ilość]*Lista_artykułów_spożywczych[Cena]), "")</f>
        <v>0</v>
      </c>
      <c r="H25" s="5"/>
      <c r="K25" s="28" t="s">
        <v>20</v>
      </c>
      <c r="L25" s="28"/>
      <c r="M25" s="21">
        <f>SUMIF(Lista_artykułów_spożywczych[Kategoria],"Makaron",Lista_artykułów_spożywczych[Cena rozszerzona])</f>
        <v>0</v>
      </c>
    </row>
    <row r="26" spans="1:13" ht="30" customHeight="1" x14ac:dyDescent="0.3">
      <c r="A26">
        <v>23</v>
      </c>
      <c r="B26" s="5"/>
      <c r="C26" s="7" t="s">
        <v>26</v>
      </c>
      <c r="D26" s="7" t="s">
        <v>38</v>
      </c>
      <c r="E26" s="16"/>
      <c r="F26" s="8"/>
      <c r="G26" s="8">
        <f>IFERROR(SUM(Lista_artykułów_spożywczych[Ilość]*Lista_artykułów_spożywczych[Cena]), "")</f>
        <v>0</v>
      </c>
      <c r="H26" s="5"/>
      <c r="K26" s="28" t="s">
        <v>36</v>
      </c>
      <c r="L26" s="28"/>
      <c r="M26" s="21">
        <f>SUMIF(Lista_artykułów_spożywczych[Kategoria],"Zupa",Lista_artykułów_spożywczych[Cena rozszerzona])</f>
        <v>0</v>
      </c>
    </row>
    <row r="27" spans="1:13" ht="30" customHeight="1" x14ac:dyDescent="0.3">
      <c r="A27">
        <v>24</v>
      </c>
      <c r="B27" s="5"/>
      <c r="C27" s="7" t="s">
        <v>27</v>
      </c>
      <c r="D27" s="7" t="s">
        <v>38</v>
      </c>
      <c r="E27" s="16"/>
      <c r="F27" s="8"/>
      <c r="G27" s="8">
        <f>IFERROR(SUM(Lista_artykułów_spożywczych[Ilość]*Lista_artykułów_spożywczych[Cena]), "")</f>
        <v>0</v>
      </c>
      <c r="H27" s="5"/>
      <c r="K27" s="28" t="s">
        <v>37</v>
      </c>
      <c r="L27" s="28"/>
      <c r="M27" s="21">
        <f>SUMIF(Lista_artykułów_spożywczych[Kategoria],"Pieczywo",Lista_artykułów_spożywczych[Cena rozszerzona])</f>
        <v>0</v>
      </c>
    </row>
    <row r="28" spans="1:13" ht="30" customHeight="1" x14ac:dyDescent="0.3">
      <c r="A28">
        <v>25</v>
      </c>
      <c r="B28" s="5"/>
      <c r="C28" s="7" t="s">
        <v>28</v>
      </c>
      <c r="D28" s="7" t="s">
        <v>38</v>
      </c>
      <c r="E28" s="16"/>
      <c r="F28" s="8"/>
      <c r="G28" s="8">
        <f>IFERROR(SUM(Lista_artykułów_spożywczych[Ilość]*Lista_artykułów_spożywczych[Cena]), "")</f>
        <v>0</v>
      </c>
      <c r="H28" s="5"/>
      <c r="K28" s="28" t="s">
        <v>38</v>
      </c>
      <c r="L28" s="28"/>
      <c r="M28" s="21">
        <f>SUMIF(Lista_artykułów_spożywczych[Kategoria],"Przekąski",Lista_artykułów_spożywczych[Cena rozszerzona])</f>
        <v>0</v>
      </c>
    </row>
    <row r="29" spans="1:13" ht="30" customHeight="1" x14ac:dyDescent="0.3">
      <c r="A29">
        <v>26</v>
      </c>
      <c r="B29" s="5"/>
      <c r="C29" s="7" t="s">
        <v>29</v>
      </c>
      <c r="D29" s="7" t="s">
        <v>39</v>
      </c>
      <c r="E29" s="16"/>
      <c r="F29" s="8"/>
      <c r="G29" s="8">
        <f>IFERROR(SUM(Lista_artykułów_spożywczych[Ilość]*Lista_artykułów_spożywczych[Cena]), "")</f>
        <v>0</v>
      </c>
      <c r="H29" s="5"/>
      <c r="K29" s="28" t="s">
        <v>39</v>
      </c>
      <c r="L29" s="28"/>
      <c r="M29" s="21">
        <f>SUMIF(Lista_artykułów_spożywczych[Kategoria],"Akcesoria",Lista_artykułów_spożywczych[Cena rozszerzona])</f>
        <v>0</v>
      </c>
    </row>
    <row r="30" spans="1:13" ht="30" customHeight="1" x14ac:dyDescent="0.3">
      <c r="A30">
        <v>27</v>
      </c>
      <c r="B30" s="5"/>
      <c r="C30" s="7" t="s">
        <v>30</v>
      </c>
      <c r="D30" s="7" t="s">
        <v>39</v>
      </c>
      <c r="E30" s="16"/>
      <c r="F30" s="8"/>
      <c r="G30" s="8">
        <f>IFERROR(SUM(Lista_artykułów_spożywczych[Ilość]*Lista_artykułów_spożywczych[Cena]), "")</f>
        <v>0</v>
      </c>
      <c r="H30" s="5"/>
    </row>
    <row r="31" spans="1:13" ht="30" customHeight="1" x14ac:dyDescent="0.3">
      <c r="B31" s="9"/>
      <c r="C31" s="6"/>
      <c r="D31" s="6"/>
      <c r="E31" s="6"/>
      <c r="F31" s="10" t="s">
        <v>56</v>
      </c>
      <c r="G31" s="11">
        <f>SUBTOTAL(109,Lista_artykułów_spożywczych[Cena rozszerzona])</f>
        <v>361</v>
      </c>
      <c r="H31" s="9"/>
    </row>
    <row r="32" spans="1:13" ht="30" customHeight="1" x14ac:dyDescent="0.3">
      <c r="B32" s="2"/>
      <c r="C32" s="2"/>
      <c r="D32" s="2"/>
      <c r="E32" s="2"/>
      <c r="F32" s="13" t="s">
        <v>57</v>
      </c>
      <c r="G32" s="14">
        <f>IF(M6=1,Lista_artykułów_spożywczych[[#Totals],[Cena rozszerzona]]*20%,0)</f>
        <v>0</v>
      </c>
      <c r="H32" s="2"/>
    </row>
  </sheetData>
  <mergeCells count="28">
    <mergeCell ref="K2:M2"/>
    <mergeCell ref="B1:E1"/>
    <mergeCell ref="M12:M15"/>
    <mergeCell ref="K1:M1"/>
    <mergeCell ref="K18:L18"/>
    <mergeCell ref="F1:H1"/>
    <mergeCell ref="K3:L3"/>
    <mergeCell ref="K5:L5"/>
    <mergeCell ref="K9:L9"/>
    <mergeCell ref="K12:L15"/>
    <mergeCell ref="K17:L17"/>
    <mergeCell ref="K25:L25"/>
    <mergeCell ref="K26:L26"/>
    <mergeCell ref="K27:L27"/>
    <mergeCell ref="K28:L28"/>
    <mergeCell ref="K29:L29"/>
    <mergeCell ref="K20:M20"/>
    <mergeCell ref="K21:L21"/>
    <mergeCell ref="K22:L22"/>
    <mergeCell ref="K23:L23"/>
    <mergeCell ref="K24:L24"/>
    <mergeCell ref="K4:M4"/>
    <mergeCell ref="K7:M7"/>
    <mergeCell ref="K10:M10"/>
    <mergeCell ref="K16:M16"/>
    <mergeCell ref="K19:M19"/>
    <mergeCell ref="K11:L11"/>
    <mergeCell ref="K8:L8"/>
  </mergeCells>
  <phoneticPr fontId="1" type="noConversion"/>
  <dataValidations count="11">
    <dataValidation allowBlank="1" showInputMessage="1" showErrorMessage="1" prompt="W tym arkuszu możesz utworzyć listę artykułów spożywczych z ilościami i cenami. Użyj kolumny Gotowe, aby wskazać, czy produkty zostały kupione" sqref="A1" xr:uid="{00000000-0002-0000-0000-000000000000}"/>
    <dataValidation allowBlank="1" showInputMessage="1" showErrorMessage="1" prompt="W tej komórce znajduje się tytuł tego arkusza" sqref="B1" xr:uid="{00000000-0002-0000-0000-000001000000}"/>
    <dataValidation allowBlank="1" showInputMessage="1" showErrorMessage="1" prompt="W tej komórce wprowadź datę" sqref="B2 D2" xr:uid="{00000000-0002-0000-0000-000002000000}"/>
    <dataValidation allowBlank="1" showInputMessage="1" showErrorMessage="1" prompt="Select Yes or No in this column to mark items bought. Press ALT+DOWN ARROW to open the drop-down list, then ENTER to make selection. Za pomocą filtrów nagłówków możesz znaleźć konkretne wpisy" sqref="B3" xr:uid="{00000000-0002-0000-0000-000003000000}"/>
    <dataValidation allowBlank="1" showInputMessage="1" showErrorMessage="1" prompt="W tej kolumnie pod tym nagłówkiem wprowadź element" sqref="C3" xr:uid="{00000000-0002-0000-0000-000004000000}"/>
    <dataValidation allowBlank="1" showInputMessage="1" showErrorMessage="1" prompt="W tej kolumnie pod tym nagłówkiem wprowadź kategorię" sqref="D3" xr:uid="{00000000-0002-0000-0000-000005000000}"/>
    <dataValidation allowBlank="1" showInputMessage="1" showErrorMessage="1" prompt="W tej kolumnie pod tym nagłówkiem wprowadź ilość" sqref="E3" xr:uid="{00000000-0002-0000-0000-000006000000}"/>
    <dataValidation allowBlank="1" showInputMessage="1" showErrorMessage="1" prompt="W tej kolumnie pod tym nagłówkiem wprowadź cenę" sqref="F3" xr:uid="{00000000-0002-0000-0000-000007000000}"/>
    <dataValidation allowBlank="1" showInputMessage="1" showErrorMessage="1" prompt="W tej kolumnie pod tym nagłówkiem jest automatycznie obliczana cena rozszerzona" sqref="G3" xr:uid="{00000000-0002-0000-0000-000008000000}"/>
    <dataValidation allowBlank="1" showInputMessage="1" showErrorMessage="1" prompt="W tej kolumnie pod tym nagłówkiem wprowadź szczegóły marki lub komentarze" sqref="H3" xr:uid="{00000000-0002-0000-0000-000009000000}"/>
    <dataValidation type="list" errorStyle="warning" allowBlank="1" showInputMessage="1" showErrorMessage="1" error="Z listy wybierz pozycję Tak lub Nie. Wybierz pozycję ANULUJ, a następnie naciśnij klawisze ALT+STRZAŁKA W DÓŁ, aby otworzyć listę rozwijaną, i klawisz ENTER w celu dokonania wyboru" sqref="B4:B30" xr:uid="{00000000-0002-0000-0000-00000A000000}">
      <formula1>"Tak, Nie"</formula1>
    </dataValidation>
  </dataValidations>
  <printOptions horizontalCentered="1"/>
  <pageMargins left="0.5" right="0.5" top="0.6" bottom="0.6" header="0.5" footer="0.5"/>
  <pageSetup scale="77" fitToHeight="0" orientation="portrait" r:id="rId1"/>
  <headerFooter differentFirst="1">
    <oddFooter>Page &amp;P of &amp;N</oddFooter>
  </headerFooter>
  <ignoredErrors>
    <ignoredError sqref="G4:G8 G9:G12 G13:G15 G16:G24 G25:G30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Drop Down 11">
              <controlPr defaultSize="0" autoLine="0" autoPict="0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List Box 15">
              <controlPr defaultSize="0" autoLine="0" autoPict="0">
                <anchor moveWithCells="1">
                  <from>
                    <xdr:col>10</xdr:col>
                    <xdr:colOff>0</xdr:colOff>
                    <xdr:row>4</xdr:row>
                    <xdr:rowOff>371475</xdr:rowOff>
                  </from>
                  <to>
                    <xdr:col>12</xdr:col>
                    <xdr:colOff>0</xdr:colOff>
                    <xdr:row>5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B000000}">
          <x14:formula1>
            <xm:f>Arkusz1!$A$1:$A$5</xm:f>
          </x14:formula1>
          <xm:sqref>M3:N3</xm:sqref>
        </x14:dataValidation>
        <x14:dataValidation type="list" allowBlank="1" showInputMessage="1" showErrorMessage="1" xr:uid="{00000000-0002-0000-0000-00000C000000}">
          <x14:formula1>
            <xm:f>Arkusz1!$C$1:$C$27</xm:f>
          </x14:formula1>
          <xm:sqref>K9:L9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E27"/>
  <sheetViews>
    <sheetView workbookViewId="0">
      <selection activeCell="E1" sqref="E1:E9"/>
    </sheetView>
  </sheetViews>
  <sheetFormatPr defaultRowHeight="16.5" x14ac:dyDescent="0.3"/>
  <cols>
    <col min="1" max="1" width="15.25" customWidth="1"/>
    <col min="3" max="3" width="14.625" customWidth="1"/>
    <col min="5" max="5" width="17.5" customWidth="1"/>
  </cols>
  <sheetData>
    <row r="1" spans="1:5" x14ac:dyDescent="0.3">
      <c r="A1" t="s">
        <v>51</v>
      </c>
      <c r="C1" t="s">
        <v>4</v>
      </c>
      <c r="E1" t="s">
        <v>32</v>
      </c>
    </row>
    <row r="2" spans="1:5" x14ac:dyDescent="0.3">
      <c r="A2" t="s">
        <v>52</v>
      </c>
      <c r="C2" t="s">
        <v>5</v>
      </c>
      <c r="E2" t="s">
        <v>33</v>
      </c>
    </row>
    <row r="3" spans="1:5" x14ac:dyDescent="0.3">
      <c r="A3" t="s">
        <v>53</v>
      </c>
      <c r="C3" t="s">
        <v>6</v>
      </c>
      <c r="E3" t="s">
        <v>34</v>
      </c>
    </row>
    <row r="4" spans="1:5" x14ac:dyDescent="0.3">
      <c r="A4" t="s">
        <v>54</v>
      </c>
      <c r="C4" t="s">
        <v>7</v>
      </c>
      <c r="E4" t="s">
        <v>35</v>
      </c>
    </row>
    <row r="5" spans="1:5" x14ac:dyDescent="0.3">
      <c r="A5" t="s">
        <v>55</v>
      </c>
      <c r="C5" t="s">
        <v>8</v>
      </c>
      <c r="E5" t="s">
        <v>20</v>
      </c>
    </row>
    <row r="6" spans="1:5" x14ac:dyDescent="0.3">
      <c r="C6" t="s">
        <v>9</v>
      </c>
      <c r="E6" t="s">
        <v>36</v>
      </c>
    </row>
    <row r="7" spans="1:5" x14ac:dyDescent="0.3">
      <c r="A7" t="s">
        <v>60</v>
      </c>
      <c r="C7" t="s">
        <v>10</v>
      </c>
      <c r="E7" t="s">
        <v>37</v>
      </c>
    </row>
    <row r="8" spans="1:5" x14ac:dyDescent="0.3">
      <c r="A8" t="s">
        <v>61</v>
      </c>
      <c r="C8" t="s">
        <v>11</v>
      </c>
      <c r="E8" t="s">
        <v>38</v>
      </c>
    </row>
    <row r="9" spans="1:5" x14ac:dyDescent="0.3">
      <c r="C9" t="s">
        <v>12</v>
      </c>
      <c r="E9" t="s">
        <v>39</v>
      </c>
    </row>
    <row r="10" spans="1:5" x14ac:dyDescent="0.3">
      <c r="C10" t="s">
        <v>13</v>
      </c>
    </row>
    <row r="11" spans="1:5" x14ac:dyDescent="0.3">
      <c r="C11" t="s">
        <v>14</v>
      </c>
    </row>
    <row r="12" spans="1:5" x14ac:dyDescent="0.3">
      <c r="C12" t="s">
        <v>15</v>
      </c>
    </row>
    <row r="13" spans="1:5" x14ac:dyDescent="0.3">
      <c r="C13" t="s">
        <v>16</v>
      </c>
    </row>
    <row r="14" spans="1:5" x14ac:dyDescent="0.3">
      <c r="C14" t="s">
        <v>17</v>
      </c>
    </row>
    <row r="15" spans="1:5" x14ac:dyDescent="0.3">
      <c r="C15" t="s">
        <v>18</v>
      </c>
    </row>
    <row r="16" spans="1:5" x14ac:dyDescent="0.3">
      <c r="C16" t="s">
        <v>19</v>
      </c>
    </row>
    <row r="17" spans="3:3" x14ac:dyDescent="0.3">
      <c r="C17" t="s">
        <v>20</v>
      </c>
    </row>
    <row r="18" spans="3:3" x14ac:dyDescent="0.3">
      <c r="C18" t="s">
        <v>21</v>
      </c>
    </row>
    <row r="19" spans="3:3" x14ac:dyDescent="0.3">
      <c r="C19" t="s">
        <v>22</v>
      </c>
    </row>
    <row r="20" spans="3:3" ht="33" x14ac:dyDescent="0.3">
      <c r="C20" t="s">
        <v>23</v>
      </c>
    </row>
    <row r="21" spans="3:3" x14ac:dyDescent="0.3">
      <c r="C21" t="s">
        <v>24</v>
      </c>
    </row>
    <row r="22" spans="3:3" ht="33" x14ac:dyDescent="0.3">
      <c r="C22" t="s">
        <v>25</v>
      </c>
    </row>
    <row r="23" spans="3:3" x14ac:dyDescent="0.3">
      <c r="C23" t="s">
        <v>26</v>
      </c>
    </row>
    <row r="24" spans="3:3" x14ac:dyDescent="0.3">
      <c r="C24" t="s">
        <v>27</v>
      </c>
    </row>
    <row r="25" spans="3:3" x14ac:dyDescent="0.3">
      <c r="C25" t="s">
        <v>28</v>
      </c>
    </row>
    <row r="26" spans="3:3" ht="33" x14ac:dyDescent="0.3">
      <c r="C26" t="s">
        <v>29</v>
      </c>
    </row>
    <row r="27" spans="3:3" x14ac:dyDescent="0.3">
      <c r="C27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3</vt:i4>
      </vt:variant>
    </vt:vector>
  </HeadingPairs>
  <TitlesOfParts>
    <vt:vector size="5" baseType="lpstr">
      <vt:lpstr>Lista artykułów spożywczych</vt:lpstr>
      <vt:lpstr>Arkusz1</vt:lpstr>
      <vt:lpstr>'Lista artykułów spożywczych'!Obszar_wydruku</vt:lpstr>
      <vt:lpstr>Tytuł_kolumny_1</vt:lpstr>
      <vt:lpstr>'Lista artykułów spożywczych'!Tytuły_wydruku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Jcob</dc:creator>
  <cp:lastModifiedBy>Jcob</cp:lastModifiedBy>
  <cp:lastPrinted>2022-01-05T16:17:40Z</cp:lastPrinted>
  <dcterms:created xsi:type="dcterms:W3CDTF">2017-09-11T05:50:47Z</dcterms:created>
  <dcterms:modified xsi:type="dcterms:W3CDTF">2022-01-05T16:36:12Z</dcterms:modified>
</cp:coreProperties>
</file>